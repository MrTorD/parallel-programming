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<sst xmlns="http://schemas.openxmlformats.org/spreadsheetml/2006/main" count="13" uniqueCount="11">
  <si>
    <t>N</t>
  </si>
  <si>
    <t>T1, мс</t>
  </si>
  <si>
    <t>T2, мс</t>
  </si>
  <si>
    <t>T3, мс</t>
  </si>
  <si>
    <t>T4, мс</t>
  </si>
  <si>
    <t>S2 = T1/T2</t>
  </si>
  <si>
    <t>S3 = T1/T3</t>
  </si>
  <si>
    <t>S4 = T1/T4</t>
  </si>
  <si>
    <t>E2 = S2/N</t>
  </si>
  <si>
    <t>E3 = S3/N</t>
  </si>
  <si>
    <t>E4 = S4/N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</si>
</sst>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  <a:r>
              <a:rPr b="1" i="1">
                <a:solidFill>
                  <a:srgbClr val="000000"/>
                </a:solidFill>
                <a:latin typeface="+mn-lt"/>
              </a:rPr>
              <a:t>Время T(N)</a:t>
            </a:r>
          </a:p>
        </c:rich>
      </c:tx>
      <c:overlay val="0"/>
    </c:title>
    <c:plotArea>
      <c:layout/>
      <c:lineChart>
        <c:ser>
          <c:idx val="0"/>
          <c:order val="0"/>
          <c:tx>
            <c:v>1 ядро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'Лист1'!$B$3:$B$18</c:f>
            </c:strRef>
          </c:cat>
          <c:val>
            <c:numRef>
              <c:f>'Лист1'!$C$3:$C$18</c:f>
              <c:numCache/>
            </c:numRef>
          </c:val>
          <c:smooth val="0"/>
        </c:ser>
        <c:ser>
          <c:idx val="1"/>
          <c:order val="1"/>
          <c:tx>
            <c:v>2 ядра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'Лист1'!$B$3:$B$18</c:f>
            </c:strRef>
          </c:cat>
          <c:val>
            <c:numRef>
              <c:f>'Лист1'!$D$3:$D$18</c:f>
              <c:numCache/>
            </c:numRef>
          </c:val>
          <c:smooth val="0"/>
        </c:ser>
        <c:ser>
          <c:idx val="2"/>
          <c:order val="2"/>
          <c:tx>
            <c:v>3 ядра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'Лист1'!$B$3:$B$18</c:f>
            </c:strRef>
          </c:cat>
          <c:val>
            <c:numRef>
              <c:f>'Лист1'!$E$3:$E$18</c:f>
              <c:numCache/>
            </c:numRef>
          </c:val>
          <c:smooth val="0"/>
        </c:ser>
        <c:ser>
          <c:idx val="3"/>
          <c:order val="3"/>
          <c:tx>
            <c:v>4 ядра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'Лист1'!$B$3:$B$18</c:f>
            </c:strRef>
          </c:cat>
          <c:val>
            <c:numRef>
              <c:f>'Лист1'!$F$3:$F$18</c:f>
              <c:numCache/>
            </c:numRef>
          </c:val>
          <c:smooth val="0"/>
        </c:ser>
        <c:axId val="324694094"/>
        <c:axId val="516966746"/>
      </c:lineChart>
      <c:catAx>
        <c:axId val="324694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966746"/>
      </c:catAx>
      <c:valAx>
        <c:axId val="516966746"/>
        <c:scaling>
          <c:orientation val="minMax"/>
          <c:max val="2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694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  <a:r>
              <a:rPr b="1" i="1">
                <a:solidFill>
                  <a:srgbClr val="000000"/>
                </a:solidFill>
                <a:latin typeface="+mn-lt"/>
              </a:rPr>
              <a:t>Ускорение SN = T1 / TN</a:t>
            </a:r>
          </a:p>
        </c:rich>
      </c:tx>
      <c:overlay val="0"/>
    </c:title>
    <c:plotArea>
      <c:layout/>
      <c:lineChart>
        <c:ser>
          <c:idx val="0"/>
          <c:order val="0"/>
          <c:tx>
            <c:v>2 ядра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'Лист1'!$B$23:$B$38</c:f>
            </c:strRef>
          </c:cat>
          <c:val>
            <c:numRef>
              <c:f>'Лист1'!$C$23:$C$38</c:f>
              <c:numCache/>
            </c:numRef>
          </c:val>
          <c:smooth val="0"/>
        </c:ser>
        <c:ser>
          <c:idx val="1"/>
          <c:order val="1"/>
          <c:tx>
            <c:v>3 ядра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'Лист1'!$B$23:$B$38</c:f>
            </c:strRef>
          </c:cat>
          <c:val>
            <c:numRef>
              <c:f>'Лист1'!$D$23:$D$38</c:f>
              <c:numCache/>
            </c:numRef>
          </c:val>
          <c:smooth val="0"/>
        </c:ser>
        <c:ser>
          <c:idx val="2"/>
          <c:order val="2"/>
          <c:tx>
            <c:v>4 ядра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'Лист1'!$B$23:$B$38</c:f>
            </c:strRef>
          </c:cat>
          <c:val>
            <c:numRef>
              <c:f>'Лист1'!$E$23:$E$38</c:f>
              <c:numCache/>
            </c:numRef>
          </c:val>
          <c:smooth val="0"/>
        </c:ser>
        <c:axId val="413991086"/>
        <c:axId val="1871451009"/>
      </c:lineChart>
      <c:catAx>
        <c:axId val="413991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451009"/>
      </c:catAx>
      <c:valAx>
        <c:axId val="1871451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991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  <a:r>
              <a:rPr b="1" i="1">
                <a:solidFill>
                  <a:srgbClr val="000000"/>
                </a:solidFill>
                <a:latin typeface="+mn-lt"/>
              </a:rPr>
              <a:t>Эффективность EN = SN / 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'Лист1'!$C$42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'Лист1'!$B$43:$B$58</c:f>
            </c:strRef>
          </c:cat>
          <c:val>
            <c:numRef>
              <c:f>'Лист1'!$C$43:$C$58</c:f>
              <c:numCache/>
            </c:numRef>
          </c:val>
          <c:smooth val="0"/>
        </c:ser>
        <c:ser>
          <c:idx val="1"/>
          <c:order val="1"/>
          <c:tx>
            <c:strRef>
              <c:f>'Лист1'!$D$42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'Лист1'!$B$43:$B$58</c:f>
            </c:strRef>
          </c:cat>
          <c:val>
            <c:numRef>
              <c:f>'Лист1'!$D$43:$D$58</c:f>
              <c:numCache/>
            </c:numRef>
          </c:val>
          <c:smooth val="0"/>
        </c:ser>
        <c:ser>
          <c:idx val="2"/>
          <c:order val="2"/>
          <c:tx>
            <c:strRef>
              <c:f>'Лист1'!$E$42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'Лист1'!$B$43:$B$58</c:f>
            </c:strRef>
          </c:cat>
          <c:val>
            <c:numRef>
              <c:f>'Лист1'!$E$43:$E$58</c:f>
              <c:numCache/>
            </c:numRef>
          </c:val>
          <c:smooth val="0"/>
        </c:ser>
        <c:axId val="586353167"/>
        <c:axId val="1952763916"/>
      </c:lineChart>
      <c:catAx>
        <c:axId val="58635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763916"/>
      </c:catAx>
      <c:valAx>
        <c:axId val="1952763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353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1</xdr:row>
      <xdr:rowOff>0</xdr:rowOff>
    </xdr:from>
    <xdr:ext cx="5457825" cy="33813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19050</xdr:colOff>
      <xdr:row>20</xdr:row>
      <xdr:rowOff>190500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19050</xdr:colOff>
      <xdr:row>40</xdr:row>
      <xdr:rowOff>47625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9.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>
        <v>1.0</v>
      </c>
      <c r="C3" s="2">
        <f>MEDIAN(1532,1609,1547,1508,1517)</f>
        <v>1532</v>
      </c>
      <c r="D3" s="3">
        <f>MEDIAN(1611,1498,1855,1736,1802)</f>
        <v>1736</v>
      </c>
      <c r="E3" s="3">
        <f>MEDIAN(1580,1501,1570,1503,1503)</f>
        <v>1503</v>
      </c>
      <c r="F3" s="3">
        <f>MEDIAN(1514,1504,1593,1502,1500)</f>
        <v>1504</v>
      </c>
    </row>
    <row r="4">
      <c r="B4" s="2">
        <v>2.0</v>
      </c>
      <c r="C4" s="2">
        <f>MEDIAN(1758,1518,1506,1614,1532)</f>
        <v>1532</v>
      </c>
      <c r="D4" s="3">
        <f>MEDIAN(788,792,760,914,769)</f>
        <v>788</v>
      </c>
      <c r="E4" s="3">
        <f>MEDIAN(827,929,763,763,776)</f>
        <v>776</v>
      </c>
      <c r="F4" s="3">
        <f>MEDIAN(807,771,768,765,838)</f>
        <v>771</v>
      </c>
    </row>
    <row r="5">
      <c r="B5" s="2">
        <v>3.0</v>
      </c>
      <c r="C5" s="2">
        <f>MEDIAN(1511,1623,1529,1527,1711)</f>
        <v>1529</v>
      </c>
      <c r="D5" s="3">
        <f>MEDIAN(761,791,783,763,898)</f>
        <v>783</v>
      </c>
      <c r="E5" s="3">
        <f>MEDIAN(527,534,540,574,518)</f>
        <v>534</v>
      </c>
      <c r="F5" s="3">
        <f>MEDIAN(595,523,545,535,557)</f>
        <v>545</v>
      </c>
    </row>
    <row r="6">
      <c r="B6" s="2">
        <v>4.0</v>
      </c>
      <c r="C6" s="3">
        <f>MEDIAN(1508,1512,1521,1635,1515)</f>
        <v>1515</v>
      </c>
      <c r="D6" s="3">
        <f>MEDIAN(833,788,758,767,779)</f>
        <v>779</v>
      </c>
      <c r="E6" s="3">
        <f>MEDIAN(604,598,634,586,589)</f>
        <v>598</v>
      </c>
      <c r="F6" s="3">
        <f>MEDIAN(536,627,462,432,508)</f>
        <v>508</v>
      </c>
    </row>
    <row r="7">
      <c r="B7" s="2">
        <v>5.0</v>
      </c>
      <c r="C7" s="3">
        <f>MEDIAN(1616,1502,1519,1595,1508)</f>
        <v>1519</v>
      </c>
      <c r="D7" s="3">
        <f>MEDIAN(768,764,814,756,775)</f>
        <v>768</v>
      </c>
      <c r="E7" s="3">
        <f>MEDIAN(581,551,548,542,579)</f>
        <v>551</v>
      </c>
      <c r="F7" s="3">
        <f>MEDIAN(627,421,424,439,424)</f>
        <v>424</v>
      </c>
    </row>
    <row r="8">
      <c r="B8" s="2">
        <v>6.0</v>
      </c>
      <c r="C8" s="3">
        <f>MEDIAN(1522,1569,1535,1498,1511)</f>
        <v>1522</v>
      </c>
      <c r="D8" s="3">
        <f>MEDIAN(769,772,785,760,758)</f>
        <v>769</v>
      </c>
      <c r="E8" s="3">
        <f>MEDIAN(523,590,525,553,522)</f>
        <v>525</v>
      </c>
      <c r="F8" s="3">
        <f>MEDIAN(424,428,423,454,416)</f>
        <v>424</v>
      </c>
    </row>
    <row r="9">
      <c r="B9" s="2">
        <v>7.0</v>
      </c>
      <c r="C9" s="3">
        <f>MEDIAN(1657,1498,1512,1605,1525)</f>
        <v>1525</v>
      </c>
      <c r="D9" s="3">
        <f>MEDIAN(792,758,773,782,764)</f>
        <v>773</v>
      </c>
      <c r="E9" s="3">
        <f>MEDIAN(548,536,558,523,531)</f>
        <v>536</v>
      </c>
      <c r="F9" s="3">
        <f>MEDIAN(460,433,447,428,447)</f>
        <v>447</v>
      </c>
    </row>
    <row r="10">
      <c r="B10" s="2">
        <v>8.0</v>
      </c>
      <c r="C10" s="3">
        <f>MEDIAN(1501,1597,1527,1519,1573)</f>
        <v>1527</v>
      </c>
      <c r="D10" s="3">
        <f>MEDIAN(759,782,758,795,755)</f>
        <v>759</v>
      </c>
      <c r="E10" s="3">
        <f>MEDIAN(540,623,531,548,554)</f>
        <v>548</v>
      </c>
      <c r="F10" s="3">
        <f>MEDIAN(462,423,457,546,419)</f>
        <v>457</v>
      </c>
    </row>
    <row r="11">
      <c r="B11" s="2">
        <v>9.0</v>
      </c>
      <c r="C11" s="3">
        <f>MEDIAN(1612,1527,1506,1682,1536)</f>
        <v>1536</v>
      </c>
      <c r="D11" s="3">
        <f>MEDIAN(767,777,800,756,784)</f>
        <v>777</v>
      </c>
      <c r="E11" s="3">
        <f>MEDIAN(530,595,542,546,527)</f>
        <v>542</v>
      </c>
      <c r="F11" s="3">
        <f>MEDIAN(463,464,411,468,461)</f>
        <v>463</v>
      </c>
    </row>
    <row r="12">
      <c r="B12" s="2">
        <v>10.0</v>
      </c>
      <c r="C12" s="3">
        <f>MEDIAN(1521,1588,1527,1522,1601)</f>
        <v>1527</v>
      </c>
      <c r="D12" s="3">
        <f>MEDIAN(761,765,768,773,783)</f>
        <v>768</v>
      </c>
      <c r="E12" s="3">
        <f>MEDIAN(528,533,558,529,531)</f>
        <v>531</v>
      </c>
      <c r="F12" s="3">
        <f>MEDIAN(422,460,466,453,421)</f>
        <v>453</v>
      </c>
    </row>
    <row r="13">
      <c r="B13" s="2">
        <v>11.0</v>
      </c>
      <c r="C13" s="3">
        <f>MEDIAN(1530,1544,1526,1613,1533)</f>
        <v>1533</v>
      </c>
      <c r="D13" s="3">
        <f>MEDIAN(767,816,791,759,767)</f>
        <v>767</v>
      </c>
      <c r="E13" s="3">
        <f>MEDIAN(534,549,524,541,542)</f>
        <v>541</v>
      </c>
      <c r="F13" s="3">
        <f>MEDIAN(422,438,468,438,425)</f>
        <v>438</v>
      </c>
    </row>
    <row r="14">
      <c r="B14" s="2">
        <v>12.0</v>
      </c>
      <c r="C14" s="3">
        <f>MEDIAN(1534,1707,1514,1527,1649)</f>
        <v>1534</v>
      </c>
      <c r="D14" s="3">
        <f>MEDIAN(781,765,779,770,853)</f>
        <v>779</v>
      </c>
      <c r="E14" s="3">
        <f>MEDIAN(549,526,544,530,537)</f>
        <v>537</v>
      </c>
      <c r="F14" s="3">
        <f>MEDIAN(441,420,411,406,418)</f>
        <v>418</v>
      </c>
    </row>
    <row r="15">
      <c r="B15" s="2">
        <v>13.0</v>
      </c>
      <c r="C15" s="3">
        <f>MEDIAN(1510,1515,1636,1535,1509)</f>
        <v>1515</v>
      </c>
      <c r="D15" s="3">
        <f>MEDIAN(787,764,766,768,763)</f>
        <v>766</v>
      </c>
      <c r="E15" s="3">
        <f>MEDIAN(534,544,536,552,534)</f>
        <v>536</v>
      </c>
      <c r="F15" s="3">
        <f>MEDIAN(406,475,439,450,447)</f>
        <v>447</v>
      </c>
    </row>
    <row r="16">
      <c r="B16" s="2">
        <v>14.0</v>
      </c>
      <c r="C16" s="3">
        <f>MEDIAN(1547,1654,1523,1513,1711)</f>
        <v>1547</v>
      </c>
      <c r="D16" s="3">
        <f>MEDIAN(764,767,767,780,765)</f>
        <v>767</v>
      </c>
      <c r="E16" s="3">
        <f>MEDIAN(519,525,543,529,535)</f>
        <v>529</v>
      </c>
      <c r="F16" s="3">
        <f>MEDIAN(431,461,443,417,435)</f>
        <v>435</v>
      </c>
    </row>
    <row r="17">
      <c r="B17" s="2">
        <v>15.0</v>
      </c>
      <c r="C17" s="3">
        <f>MEDIAN(1534,1508,1616,1519,1530)</f>
        <v>1530</v>
      </c>
      <c r="D17" s="3">
        <f>MEDIAN(772,789,763,766,782)</f>
        <v>772</v>
      </c>
      <c r="E17" s="3">
        <f>MEDIAN(525,537,542,546,548)</f>
        <v>542</v>
      </c>
      <c r="F17" s="3">
        <f>MEDIAN(429,439,431,472,424)</f>
        <v>431</v>
      </c>
    </row>
    <row r="18">
      <c r="B18" s="2">
        <v>16.0</v>
      </c>
      <c r="C18" s="3">
        <f>MEDIAN(1637,1535,1601,1607,1519)</f>
        <v>1601</v>
      </c>
      <c r="D18" s="3">
        <f>MEDIAN(764,768,779,805,781)</f>
        <v>779</v>
      </c>
      <c r="E18" s="3">
        <f>MEDIAN(527,604,540,553,530)</f>
        <v>540</v>
      </c>
      <c r="F18" s="3">
        <f>MEDIAN(506,418,453,431,426)</f>
        <v>431</v>
      </c>
    </row>
    <row r="22">
      <c r="B22" s="1" t="s">
        <v>0</v>
      </c>
      <c r="C22" s="1" t="s">
        <v>5</v>
      </c>
      <c r="D22" s="1" t="s">
        <v>6</v>
      </c>
      <c r="E22" s="1" t="s">
        <v>7</v>
      </c>
    </row>
    <row r="23">
      <c r="B23" s="2">
        <v>1.0</v>
      </c>
      <c r="C23" s="3">
        <f t="shared" ref="C23:E23" si="1">$C3/D3</f>
        <v>0.8824884793</v>
      </c>
      <c r="D23" s="3">
        <f t="shared" si="1"/>
        <v>1.019294744</v>
      </c>
      <c r="E23" s="3">
        <f t="shared" si="1"/>
        <v>1.018617021</v>
      </c>
    </row>
    <row r="24">
      <c r="B24" s="2">
        <v>2.0</v>
      </c>
      <c r="C24" s="3">
        <f t="shared" ref="C24:E24" si="2">$C4/D4</f>
        <v>1.944162437</v>
      </c>
      <c r="D24" s="3">
        <f t="shared" si="2"/>
        <v>1.974226804</v>
      </c>
      <c r="E24" s="3">
        <f t="shared" si="2"/>
        <v>1.987029831</v>
      </c>
    </row>
    <row r="25">
      <c r="B25" s="2">
        <v>3.0</v>
      </c>
      <c r="C25" s="3">
        <f t="shared" ref="C25:E25" si="3">$C5/D5</f>
        <v>1.952745849</v>
      </c>
      <c r="D25" s="3">
        <f t="shared" si="3"/>
        <v>2.86329588</v>
      </c>
      <c r="E25" s="3">
        <f t="shared" si="3"/>
        <v>2.805504587</v>
      </c>
    </row>
    <row r="26">
      <c r="B26" s="2">
        <v>4.0</v>
      </c>
      <c r="C26" s="3">
        <f t="shared" ref="C26:E26" si="4">$C6/D6</f>
        <v>1.944801027</v>
      </c>
      <c r="D26" s="3">
        <f t="shared" si="4"/>
        <v>2.533444816</v>
      </c>
      <c r="E26" s="3">
        <f t="shared" si="4"/>
        <v>2.982283465</v>
      </c>
      <c r="P26" s="4"/>
    </row>
    <row r="27">
      <c r="B27" s="2">
        <v>5.0</v>
      </c>
      <c r="C27" s="3">
        <f t="shared" ref="C27:E27" si="5">$C7/D7</f>
        <v>1.977864583</v>
      </c>
      <c r="D27" s="3">
        <f t="shared" si="5"/>
        <v>2.756805808</v>
      </c>
      <c r="E27" s="3">
        <f t="shared" si="5"/>
        <v>3.58254717</v>
      </c>
    </row>
    <row r="28">
      <c r="B28" s="2">
        <v>6.0</v>
      </c>
      <c r="C28" s="3">
        <f t="shared" ref="C28:E28" si="6">$C8/D8</f>
        <v>1.979193758</v>
      </c>
      <c r="D28" s="3">
        <f t="shared" si="6"/>
        <v>2.899047619</v>
      </c>
      <c r="E28" s="3">
        <f t="shared" si="6"/>
        <v>3.589622642</v>
      </c>
    </row>
    <row r="29">
      <c r="B29" s="2">
        <v>7.0</v>
      </c>
      <c r="C29" s="3">
        <f t="shared" ref="C29:E29" si="7">$C9/D9</f>
        <v>1.972833118</v>
      </c>
      <c r="D29" s="3">
        <f t="shared" si="7"/>
        <v>2.845149254</v>
      </c>
      <c r="E29" s="3">
        <f t="shared" si="7"/>
        <v>3.41163311</v>
      </c>
    </row>
    <row r="30">
      <c r="B30" s="2">
        <v>8.0</v>
      </c>
      <c r="C30" s="3">
        <f t="shared" ref="C30:E30" si="8">$C10/D10</f>
        <v>2.011857708</v>
      </c>
      <c r="D30" s="3">
        <f t="shared" si="8"/>
        <v>2.78649635</v>
      </c>
      <c r="E30" s="3">
        <f t="shared" si="8"/>
        <v>3.341356674</v>
      </c>
    </row>
    <row r="31">
      <c r="B31" s="2">
        <v>9.0</v>
      </c>
      <c r="C31" s="3">
        <f t="shared" ref="C31:E31" si="9">$C11/D11</f>
        <v>1.976833977</v>
      </c>
      <c r="D31" s="3">
        <f t="shared" si="9"/>
        <v>2.833948339</v>
      </c>
      <c r="E31" s="3">
        <f t="shared" si="9"/>
        <v>3.3174946</v>
      </c>
    </row>
    <row r="32">
      <c r="B32" s="2">
        <v>10.0</v>
      </c>
      <c r="C32" s="3">
        <f t="shared" ref="C32:E32" si="10">$C12/D12</f>
        <v>1.98828125</v>
      </c>
      <c r="D32" s="3">
        <f t="shared" si="10"/>
        <v>2.875706215</v>
      </c>
      <c r="E32" s="3">
        <f t="shared" si="10"/>
        <v>3.370860927</v>
      </c>
    </row>
    <row r="33">
      <c r="B33" s="2">
        <v>11.0</v>
      </c>
      <c r="C33" s="3">
        <f t="shared" ref="C33:E33" si="11">$C13/D13</f>
        <v>1.998696219</v>
      </c>
      <c r="D33" s="3">
        <f t="shared" si="11"/>
        <v>2.833641405</v>
      </c>
      <c r="E33" s="3">
        <f t="shared" si="11"/>
        <v>3.5</v>
      </c>
    </row>
    <row r="34">
      <c r="B34" s="2">
        <v>12.0</v>
      </c>
      <c r="C34" s="3">
        <f t="shared" ref="C34:E34" si="12">$C14/D14</f>
        <v>1.969191271</v>
      </c>
      <c r="D34" s="3">
        <f t="shared" si="12"/>
        <v>2.856610801</v>
      </c>
      <c r="E34" s="3">
        <f t="shared" si="12"/>
        <v>3.669856459</v>
      </c>
    </row>
    <row r="35">
      <c r="B35" s="2">
        <v>13.0</v>
      </c>
      <c r="C35" s="3">
        <f t="shared" ref="C35:E35" si="13">$C15/D15</f>
        <v>1.977806789</v>
      </c>
      <c r="D35" s="3">
        <f t="shared" si="13"/>
        <v>2.826492537</v>
      </c>
      <c r="E35" s="3">
        <f t="shared" si="13"/>
        <v>3.389261745</v>
      </c>
    </row>
    <row r="36">
      <c r="B36" s="2">
        <v>14.0</v>
      </c>
      <c r="C36" s="3">
        <f t="shared" ref="C36:E36" si="14">$C16/D16</f>
        <v>2.016949153</v>
      </c>
      <c r="D36" s="3">
        <f t="shared" si="14"/>
        <v>2.924385633</v>
      </c>
      <c r="E36" s="3">
        <f t="shared" si="14"/>
        <v>3.556321839</v>
      </c>
    </row>
    <row r="37">
      <c r="B37" s="2">
        <v>15.0</v>
      </c>
      <c r="C37" s="3">
        <f t="shared" ref="C37:E37" si="15">$C17/D17</f>
        <v>1.981865285</v>
      </c>
      <c r="D37" s="3">
        <f t="shared" si="15"/>
        <v>2.822878229</v>
      </c>
      <c r="E37" s="3">
        <f t="shared" si="15"/>
        <v>3.549883991</v>
      </c>
    </row>
    <row r="38">
      <c r="B38" s="2">
        <v>16.0</v>
      </c>
      <c r="C38" s="3">
        <f t="shared" ref="C38:E38" si="16">$C18/D18</f>
        <v>2.055198973</v>
      </c>
      <c r="D38" s="3">
        <f t="shared" si="16"/>
        <v>2.964814815</v>
      </c>
      <c r="E38" s="3">
        <f t="shared" si="16"/>
        <v>3.714617169</v>
      </c>
    </row>
    <row r="39">
      <c r="B39" s="4"/>
      <c r="C39" s="4"/>
      <c r="D39" s="4"/>
      <c r="E39" s="4"/>
    </row>
    <row r="40">
      <c r="B40" s="4"/>
      <c r="C40" s="4"/>
      <c r="D40" s="4"/>
      <c r="E40" s="4"/>
    </row>
    <row r="41">
      <c r="B41" s="4"/>
      <c r="C41" s="4"/>
      <c r="D41" s="4"/>
      <c r="E41" s="4"/>
    </row>
    <row r="42">
      <c r="B42" s="1" t="s">
        <v>0</v>
      </c>
      <c r="C42" s="1" t="s">
        <v>8</v>
      </c>
      <c r="D42" s="1" t="s">
        <v>9</v>
      </c>
      <c r="E42" s="1" t="s">
        <v>10</v>
      </c>
    </row>
    <row r="43">
      <c r="B43" s="2">
        <v>1.0</v>
      </c>
      <c r="C43" s="3">
        <f t="shared" ref="C43:E43" si="17">C23/$B43</f>
        <v>0.8824884793</v>
      </c>
      <c r="D43" s="3">
        <f t="shared" si="17"/>
        <v>1.019294744</v>
      </c>
      <c r="E43" s="3">
        <f t="shared" si="17"/>
        <v>1.018617021</v>
      </c>
    </row>
    <row r="44">
      <c r="B44" s="2">
        <v>2.0</v>
      </c>
      <c r="C44" s="3">
        <f t="shared" ref="C44:E44" si="18">C24/$B44</f>
        <v>0.9720812183</v>
      </c>
      <c r="D44" s="3">
        <f t="shared" si="18"/>
        <v>0.9871134021</v>
      </c>
      <c r="E44" s="3">
        <f t="shared" si="18"/>
        <v>0.9935149157</v>
      </c>
    </row>
    <row r="45">
      <c r="B45" s="2">
        <v>3.0</v>
      </c>
      <c r="C45" s="3">
        <f t="shared" ref="C45:E45" si="19">C25/$B45</f>
        <v>0.6509152831</v>
      </c>
      <c r="D45" s="3">
        <f t="shared" si="19"/>
        <v>0.95443196</v>
      </c>
      <c r="E45" s="3">
        <f t="shared" si="19"/>
        <v>0.9351681957</v>
      </c>
    </row>
    <row r="46">
      <c r="B46" s="2">
        <v>4.0</v>
      </c>
      <c r="C46" s="3">
        <f t="shared" ref="C46:E46" si="20">C26/$B46</f>
        <v>0.4862002567</v>
      </c>
      <c r="D46" s="3">
        <f t="shared" si="20"/>
        <v>0.633361204</v>
      </c>
      <c r="E46" s="3">
        <f t="shared" si="20"/>
        <v>0.7455708661</v>
      </c>
    </row>
    <row r="47">
      <c r="B47" s="2">
        <v>5.0</v>
      </c>
      <c r="C47" s="3">
        <f t="shared" ref="C47:E47" si="21">C27/$B47</f>
        <v>0.3955729167</v>
      </c>
      <c r="D47" s="3">
        <f t="shared" si="21"/>
        <v>0.5513611615</v>
      </c>
      <c r="E47" s="3">
        <f t="shared" si="21"/>
        <v>0.716509434</v>
      </c>
    </row>
    <row r="48">
      <c r="B48" s="2">
        <v>6.0</v>
      </c>
      <c r="C48" s="3">
        <f t="shared" ref="C48:E48" si="22">C28/$B48</f>
        <v>0.3298656264</v>
      </c>
      <c r="D48" s="3">
        <f t="shared" si="22"/>
        <v>0.4831746032</v>
      </c>
      <c r="E48" s="3">
        <f t="shared" si="22"/>
        <v>0.5982704403</v>
      </c>
    </row>
    <row r="49">
      <c r="B49" s="2">
        <v>7.0</v>
      </c>
      <c r="C49" s="3">
        <f t="shared" ref="C49:E49" si="23">C29/$B49</f>
        <v>0.2818333025</v>
      </c>
      <c r="D49" s="3">
        <f t="shared" si="23"/>
        <v>0.4064498934</v>
      </c>
      <c r="E49" s="3">
        <f t="shared" si="23"/>
        <v>0.4873761585</v>
      </c>
    </row>
    <row r="50">
      <c r="B50" s="2">
        <v>8.0</v>
      </c>
      <c r="C50" s="3">
        <f t="shared" ref="C50:E50" si="24">C30/$B50</f>
        <v>0.2514822134</v>
      </c>
      <c r="D50" s="3">
        <f t="shared" si="24"/>
        <v>0.3483120438</v>
      </c>
      <c r="E50" s="3">
        <f t="shared" si="24"/>
        <v>0.4176695842</v>
      </c>
    </row>
    <row r="51">
      <c r="B51" s="2">
        <v>9.0</v>
      </c>
      <c r="C51" s="3">
        <f t="shared" ref="C51:E51" si="25">C31/$B51</f>
        <v>0.2196482196</v>
      </c>
      <c r="D51" s="3">
        <f t="shared" si="25"/>
        <v>0.3148831488</v>
      </c>
      <c r="E51" s="3">
        <f t="shared" si="25"/>
        <v>0.3686105112</v>
      </c>
    </row>
    <row r="52">
      <c r="B52" s="2">
        <v>10.0</v>
      </c>
      <c r="C52" s="3">
        <f t="shared" ref="C52:E52" si="26">C32/$B52</f>
        <v>0.198828125</v>
      </c>
      <c r="D52" s="3">
        <f t="shared" si="26"/>
        <v>0.2875706215</v>
      </c>
      <c r="E52" s="3">
        <f t="shared" si="26"/>
        <v>0.3370860927</v>
      </c>
    </row>
    <row r="53">
      <c r="B53" s="2">
        <v>11.0</v>
      </c>
      <c r="C53" s="3">
        <f t="shared" ref="C53:E53" si="27">C33/$B53</f>
        <v>0.1816996563</v>
      </c>
      <c r="D53" s="3">
        <f t="shared" si="27"/>
        <v>0.2576037641</v>
      </c>
      <c r="E53" s="3">
        <f t="shared" si="27"/>
        <v>0.3181818182</v>
      </c>
    </row>
    <row r="54">
      <c r="B54" s="2">
        <v>12.0</v>
      </c>
      <c r="C54" s="3">
        <f t="shared" ref="C54:E54" si="28">C34/$B54</f>
        <v>0.1640992726</v>
      </c>
      <c r="D54" s="3">
        <f t="shared" si="28"/>
        <v>0.2380509001</v>
      </c>
      <c r="E54" s="3">
        <f t="shared" si="28"/>
        <v>0.3058213716</v>
      </c>
    </row>
    <row r="55">
      <c r="B55" s="2">
        <v>13.0</v>
      </c>
      <c r="C55" s="3">
        <f t="shared" ref="C55:E55" si="29">C35/$B55</f>
        <v>0.1521389837</v>
      </c>
      <c r="D55" s="3">
        <f t="shared" si="29"/>
        <v>0.2174225029</v>
      </c>
      <c r="E55" s="3">
        <f t="shared" si="29"/>
        <v>0.2607124419</v>
      </c>
    </row>
    <row r="56">
      <c r="B56" s="2">
        <v>14.0</v>
      </c>
      <c r="C56" s="3">
        <f t="shared" ref="C56:E56" si="30">C36/$B56</f>
        <v>0.1440677966</v>
      </c>
      <c r="D56" s="3">
        <f t="shared" si="30"/>
        <v>0.2088846881</v>
      </c>
      <c r="E56" s="3">
        <f t="shared" si="30"/>
        <v>0.2540229885</v>
      </c>
    </row>
    <row r="57">
      <c r="B57" s="2">
        <v>15.0</v>
      </c>
      <c r="C57" s="3">
        <f t="shared" ref="C57:E57" si="31">C37/$B57</f>
        <v>0.1321243523</v>
      </c>
      <c r="D57" s="3">
        <f t="shared" si="31"/>
        <v>0.1881918819</v>
      </c>
      <c r="E57" s="3">
        <f t="shared" si="31"/>
        <v>0.2366589327</v>
      </c>
    </row>
    <row r="58">
      <c r="B58" s="2">
        <v>16.0</v>
      </c>
      <c r="C58" s="3">
        <f t="shared" ref="C58:E58" si="32">C38/$B58</f>
        <v>0.1284499358</v>
      </c>
      <c r="D58" s="3">
        <f t="shared" si="32"/>
        <v>0.1853009259</v>
      </c>
      <c r="E58" s="3">
        <f t="shared" si="32"/>
        <v>0.2321635731</v>
      </c>
    </row>
  </sheetData>
  <drawing r:id="rId1"/>
</worksheet>
</file>